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9r3c39t0r/Desktop/QMUL SEM 1/MTH785P/"/>
    </mc:Choice>
  </mc:AlternateContent>
  <xr:revisionPtr revIDLastSave="0" documentId="13_ncr:1_{B6BAF0CE-5245-1149-95BD-0A462F042DD8}" xr6:coauthVersionLast="47" xr6:coauthVersionMax="47" xr10:uidLastSave="{00000000-0000-0000-0000-000000000000}"/>
  <bookViews>
    <workbookView xWindow="0" yWindow="760" windowWidth="29040" windowHeight="15720" activeTab="2" xr2:uid="{EC59FF23-DA99-45AD-8D16-9EAAD7E42557}"/>
  </bookViews>
  <sheets>
    <sheet name="Load from and save to Products" sheetId="1" r:id="rId1"/>
    <sheet name="target average GMP(solver)" sheetId="2" r:id="rId2"/>
    <sheet name="Sales+Products pivot table" sheetId="7" r:id="rId3"/>
  </sheets>
  <definedNames>
    <definedName name="solver_adj" localSheetId="1" hidden="1">'target average GMP(solver)'!$C$2:$D$25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'target average GMP(solver)'!$D$2:$D$25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'target average GMP(solver)'!$L$2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hs1" localSheetId="1" hidden="1">10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60</definedName>
    <definedName name="solver_ver" localSheetId="1" hidden="1">2</definedName>
  </definedNames>
  <calcPr calcId="191028" calcMode="manual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_64cdd2ff-8970-490d-921a-e1d433cb6f77" name="Sales" connection="Query - Sales"/>
          <x15:modelTable id="Products_609653db-f0f1-43d1-b424-532ca019a36c" name="Products" connection="Query - Products"/>
        </x15:modelTables>
        <x15:modelRelationships>
          <x15:modelRelationship fromTable="Sales" fromColumn="Product ID" toTable="Products" toColumn="Product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" l="1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4" i="2"/>
  <c r="G6" i="2"/>
  <c r="G5" i="2"/>
  <c r="G3" i="2"/>
  <c r="G2" i="2"/>
  <c r="F25" i="2"/>
  <c r="H25" i="2" s="1"/>
  <c r="F24" i="2"/>
  <c r="H24" i="2" s="1"/>
  <c r="F23" i="2"/>
  <c r="H23" i="2" s="1"/>
  <c r="F22" i="2"/>
  <c r="H22" i="2" s="1"/>
  <c r="F21" i="2"/>
  <c r="H21" i="2" s="1"/>
  <c r="F20" i="2"/>
  <c r="F19" i="2"/>
  <c r="H19" i="2" s="1"/>
  <c r="F18" i="2"/>
  <c r="H18" i="2" s="1"/>
  <c r="F17" i="2"/>
  <c r="H17" i="2" s="1"/>
  <c r="F16" i="2"/>
  <c r="F15" i="2"/>
  <c r="I15" i="2" s="1"/>
  <c r="F14" i="2"/>
  <c r="F13" i="2"/>
  <c r="H13" i="2" s="1"/>
  <c r="F12" i="2"/>
  <c r="H12" i="2" s="1"/>
  <c r="F11" i="2"/>
  <c r="F10" i="2"/>
  <c r="H10" i="2" s="1"/>
  <c r="F9" i="2"/>
  <c r="F8" i="2"/>
  <c r="I8" i="2" s="1"/>
  <c r="F7" i="2"/>
  <c r="H7" i="2" s="1"/>
  <c r="F6" i="2"/>
  <c r="F5" i="2"/>
  <c r="F4" i="2"/>
  <c r="F3" i="2"/>
  <c r="F2" i="2"/>
  <c r="I25" i="2"/>
  <c r="I5" i="2" l="1"/>
  <c r="I2" i="2"/>
  <c r="I9" i="2"/>
  <c r="H4" i="2"/>
  <c r="I11" i="2"/>
  <c r="I14" i="2"/>
  <c r="H16" i="2"/>
  <c r="H3" i="2"/>
  <c r="H6" i="2"/>
  <c r="H20" i="2"/>
  <c r="H8" i="2"/>
  <c r="H9" i="2"/>
  <c r="I24" i="2"/>
  <c r="I20" i="2"/>
  <c r="I21" i="2"/>
  <c r="H15" i="2"/>
  <c r="H14" i="2"/>
  <c r="I3" i="2"/>
  <c r="L2" i="2" a="1"/>
  <c r="L2" i="2" s="1"/>
  <c r="I23" i="2"/>
  <c r="I10" i="2"/>
  <c r="I22" i="2"/>
  <c r="H11" i="2"/>
  <c r="H5" i="2"/>
  <c r="I13" i="2"/>
  <c r="I12" i="2"/>
  <c r="I19" i="2"/>
  <c r="I7" i="2"/>
  <c r="H2" i="2"/>
  <c r="I18" i="2"/>
  <c r="I6" i="2"/>
  <c r="I17" i="2"/>
  <c r="I16" i="2"/>
  <c r="I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5E66CB-A337-4236-B7B8-AB30A4363A32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7072e962-966a-43e2-8a49-ac8a042f9462"/>
      </ext>
    </extLst>
  </connection>
  <connection id="2" xr16:uid="{CA3EC08F-9684-4D92-B230-18FE9BB58048}" name="Query - Sales" description="Connection to the 'Sales' query in the workbook." type="100" refreshedVersion="8" minRefreshableVersion="5">
    <extLst>
      <ext xmlns:x15="http://schemas.microsoft.com/office/spreadsheetml/2010/11/main" uri="{DE250136-89BD-433C-8126-D09CA5730AF9}">
        <x15:connection id="e0321c7d-0603-4f03-a290-36b84b06582a"/>
      </ext>
    </extLst>
  </connection>
  <connection id="3" xr16:uid="{D7E00548-A708-4335-80E9-3162448F498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<sst xmlns="http://schemas.openxmlformats.org/spreadsheetml/2006/main" count="201" uniqueCount="81">
  <si>
    <t>ProductID</t>
  </si>
  <si>
    <t>ProductLine</t>
  </si>
  <si>
    <t>Category</t>
  </si>
  <si>
    <t>ProductRating</t>
  </si>
  <si>
    <t>VYVXLY</t>
  </si>
  <si>
    <t>Harmonium</t>
  </si>
  <si>
    <t>Non - electronic</t>
  </si>
  <si>
    <t>ALOPIR</t>
  </si>
  <si>
    <t>Rhodes Piano</t>
  </si>
  <si>
    <t>Electronic</t>
  </si>
  <si>
    <t>PMLOPI</t>
  </si>
  <si>
    <t>Bongos</t>
  </si>
  <si>
    <t>ERNGAK</t>
  </si>
  <si>
    <t>Sampler/MPC</t>
  </si>
  <si>
    <t>USHJAW</t>
  </si>
  <si>
    <t>Tabla</t>
  </si>
  <si>
    <t>OMDAQH</t>
  </si>
  <si>
    <t>MIDI Keyboard</t>
  </si>
  <si>
    <t>HYRVSU</t>
  </si>
  <si>
    <t>MMOTFH</t>
  </si>
  <si>
    <t>RHSVLZ</t>
  </si>
  <si>
    <t>URGGJC</t>
  </si>
  <si>
    <t>Synthesizer</t>
  </si>
  <si>
    <t>IWFNKK</t>
  </si>
  <si>
    <t>JOPLMZ</t>
  </si>
  <si>
    <t>STWZHI</t>
  </si>
  <si>
    <t>EEFTQN</t>
  </si>
  <si>
    <t>AOWVBX</t>
  </si>
  <si>
    <t>KGGGRT</t>
  </si>
  <si>
    <t>SVRBSR</t>
  </si>
  <si>
    <t>Flute</t>
  </si>
  <si>
    <t>Non-electronic</t>
  </si>
  <si>
    <t>POWQDF</t>
  </si>
  <si>
    <t>Piano</t>
  </si>
  <si>
    <t>Invoice ID</t>
  </si>
  <si>
    <t>Product ID</t>
  </si>
  <si>
    <t>Unit price</t>
  </si>
  <si>
    <t>Quantity</t>
  </si>
  <si>
    <t>Unit cost</t>
  </si>
  <si>
    <t>Total cost</t>
  </si>
  <si>
    <t>gross income</t>
  </si>
  <si>
    <t>gross margin percentage</t>
  </si>
  <si>
    <t>750-67-8428</t>
  </si>
  <si>
    <t>226-31-3081</t>
  </si>
  <si>
    <t>631-41-3108</t>
  </si>
  <si>
    <t>123-19-1176</t>
  </si>
  <si>
    <t>373-73-7910</t>
  </si>
  <si>
    <t>699-14-3026</t>
  </si>
  <si>
    <t>355-53-5943</t>
  </si>
  <si>
    <t>315-22-5665</t>
  </si>
  <si>
    <t>665-32-9167</t>
  </si>
  <si>
    <t>692-92-5582</t>
  </si>
  <si>
    <t>351-62-0822</t>
  </si>
  <si>
    <t>529-56-3974</t>
  </si>
  <si>
    <t>365-64-0515</t>
  </si>
  <si>
    <t>252-56-2699</t>
  </si>
  <si>
    <t>829-34-3910</t>
  </si>
  <si>
    <t>299-46-1805</t>
  </si>
  <si>
    <t>656-95-9349</t>
  </si>
  <si>
    <t>765-26-6951</t>
  </si>
  <si>
    <t>329-62-1586</t>
  </si>
  <si>
    <t>319-50-3348</t>
  </si>
  <si>
    <t>300-71-4605</t>
  </si>
  <si>
    <t>371-85-5789</t>
  </si>
  <si>
    <t>273-16-6619</t>
  </si>
  <si>
    <t>636-48-8204</t>
  </si>
  <si>
    <t>KNTQRF</t>
  </si>
  <si>
    <t>Santur</t>
  </si>
  <si>
    <t>PLKSAQ</t>
  </si>
  <si>
    <t>RMNUGU</t>
  </si>
  <si>
    <t>Saxophone</t>
  </si>
  <si>
    <t>Grand Total</t>
  </si>
  <si>
    <t>Sum of gross income</t>
  </si>
  <si>
    <t/>
  </si>
  <si>
    <t>Sum of Quantity</t>
  </si>
  <si>
    <t>Average of ProductRating</t>
  </si>
  <si>
    <t>Target average GMP</t>
  </si>
  <si>
    <t>INPUT AREA</t>
  </si>
  <si>
    <t>KLPRAK</t>
  </si>
  <si>
    <t>Average of gross margin percentage</t>
  </si>
  <si>
    <t>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</si>
</sst>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&quot;£&quot;#,##0.00;\-&quot;£&quot;#,##0.00;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5" fontId="0" fillId="0" borderId="0" xfId="0" applyNumberFormat="1"/>
    <xf numFmtId="1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101600</xdr:colOff>
          <xdr:row>11</xdr:row>
          <xdr:rowOff>114300</xdr:rowOff>
        </xdr:from>
        <xdr:to>
          <xdr:col>16</xdr:col>
          <xdr:colOff>25400</xdr:colOff>
          <xdr:row>16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139700</xdr:colOff>
          <xdr:row>3</xdr:row>
          <xdr:rowOff>38100</xdr:rowOff>
        </xdr:from>
        <xdr:to>
          <xdr:col>16</xdr:col>
          <xdr:colOff>25400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To Database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kshay Jayakumar" refreshedDate="45680.526659606483" backgroundQuery="1" createdVersion="8" refreshedVersion="8" minRefreshableVersion="3" recordCount="0" supportSubquery="1" supportAdvancedDrill="1" xr:uid="{43D99829-A416-4733-B541-41FADC17AEEF}">
  <cacheSource type="external" connectionId="3"/>
  <cacheFields count="7">
    <cacheField name="[Products].[ProductID].[ProductID]" caption="ProductID" numFmtId="0" level="1">
      <sharedItems count="21">
        <s v="ALOPIR"/>
        <s v="AOWVBX"/>
        <s v="EEFTQN"/>
        <s v="ERNGAK"/>
        <s v="HYRVSU"/>
        <s v="IWFNKK"/>
        <s v="JOPLMZ"/>
        <s v="KGGGRT"/>
        <s v="KNTQRF"/>
        <s v="MMOTFH"/>
        <s v="OMDAQH"/>
        <s v="PLKSAQ"/>
        <s v="PMLOPI"/>
        <s v="POWQDF"/>
        <s v="RHSVLZ"/>
        <s v="RMNUGU"/>
        <s v="STWZHI"/>
        <s v="SVRBSR"/>
        <s v="URGGJC"/>
        <s v="USHJAW"/>
        <s v="VYVXLY"/>
      </sharedItems>
    </cacheField>
    <cacheField name="[Products].[ProductLine].[ProductLine]" caption="ProductLine" numFmtId="0" hierarchy="1" level="1">
      <sharedItems count="11">
        <s v="Rhodes Piano"/>
        <s v="Synthesizer"/>
        <s v="Harmonium"/>
        <s v="Sampler/MPC"/>
        <s v="Tabla"/>
        <s v="MIDI Keyboard"/>
        <s v="Santur"/>
        <s v="Bongos"/>
        <s v="Piano"/>
        <s v="Saxophone"/>
        <s v="Flute"/>
      </sharedItems>
    </cacheField>
    <cacheField name="[Measures].[Sum of Quantity]" caption="Sum of Quantity" numFmtId="0" hierarchy="23" level="32767"/>
    <cacheField name="[Products].[Category].[Category]" caption="Category" numFmtId="0" hierarchy="2" level="1">
      <sharedItems count="3">
        <s v="Electronic"/>
        <s v="Non - electronic"/>
        <s v="Non-electronic"/>
      </sharedItems>
    </cacheField>
    <cacheField name="[Measures].[Average of ProductRating]" caption="Average of ProductRating" numFmtId="0" hierarchy="27" level="32767"/>
    <cacheField name="[Measures].[Sum of gross income]" caption="Sum of gross income" numFmtId="0" hierarchy="19" level="32767"/>
    <cacheField name="[Measures].[Average of gross margin percentage]" caption="Average of gross margin percentage" numFmtId="0" hierarchy="22" level="32767"/>
  </cacheFields>
  <cacheHierarchies count="28">
    <cacheHierarchy uniqueName="[Products].[ProductID]" caption="ProductID" attribute="1" defaultMemberUniqueName="[Products].[ProductID].[All]" allUniqueName="[Products].[ProductID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ProductLine]" caption="ProductLine" attribute="1" defaultMemberUniqueName="[Products].[ProductLine].[All]" allUniqueName="[Products].[ProductLin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2" memberValueDatatype="130" unbalanced="0">
      <fieldsUsage count="2">
        <fieldUsage x="-1"/>
        <fieldUsage x="3"/>
      </fieldsUsage>
    </cacheHierarchy>
    <cacheHierarchy uniqueName="[Products].[ProductRating]" caption="ProductRating" attribute="1" defaultMemberUniqueName="[Products].[ProductRating].[All]" allUniqueName="[Products].[ProductRating].[All]" dimensionUniqueName="[Products]" displayFolder="" count="0" memberValueDatatype="5" unbalanced="0"/>
    <cacheHierarchy uniqueName="[Sales].[Invoice ID]" caption="Invoice ID" attribute="1" defaultMemberUniqueName="[Sales].[Invoice ID].[All]" allUniqueName="[Sales].[Invoice ID].[All]" dimensionUniqueName="[Sales]" displayFolder="" count="0" memberValueDatatype="130" unbalanced="0"/>
    <cacheHierarchy uniqueName="[Sales].[Product ID]" caption="Product ID" attribute="1" defaultMemberUniqueName="[Sales].[Product ID].[All]" allUniqueName="[Sales].[Product ID].[All]" dimensionUniqueName="[Sales]" displayFolder="" count="0" memberValueDatatype="130" unbalanced="0"/>
    <cacheHierarchy uniqueName="[Sales].[Unit price]" caption="Unit price" attribute="1" defaultMemberUniqueName="[Sales].[Unit price].[All]" allUniqueName="[Sales].[Unit price].[All]" dimensionUniqueName="[Sales]" displayFolder="" count="0" memberValueDatatype="5" unbalanced="0"/>
    <cacheHierarchy uniqueName="[Sales].[Quantity]" caption="Quantity" attribute="1" defaultMemberUniqueName="[Sales].[Quantity].[All]" allUniqueName="[Sales].[Quantity].[All]" dimensionUniqueName="[Sales]" displayFolder="" count="0" memberValueDatatype="20" unbalanced="0"/>
    <cacheHierarchy uniqueName="[Sales].[Total]" caption="Total" attribute="1" defaultMemberUniqueName="[Sales].[Total].[All]" allUniqueName="[Sales].[Total].[All]" dimensionUniqueName="[Sales]" displayFolder="" count="0" memberValueDatatype="5" unbalanced="0"/>
    <cacheHierarchy uniqueName="[Sales].[Unit cost]" caption="Unit cost" attribute="1" defaultMemberUniqueName="[Sales].[Unit cost].[All]" allUniqueName="[Sales].[Unit cost].[All]" dimensionUniqueName="[Sales]" displayFolder="" count="0" memberValueDatatype="5" unbalanced="0"/>
    <cacheHierarchy uniqueName="[Sales].[Total cost]" caption="Total cost" attribute="1" defaultMemberUniqueName="[Sales].[Total cost].[All]" allUniqueName="[Sales].[Total cost].[All]" dimensionUniqueName="[Sales]" displayFolder="" count="0" memberValueDatatype="5" unbalanced="0"/>
    <cacheHierarchy uniqueName="[Sales].[gross income]" caption="gross income" attribute="1" defaultMemberUniqueName="[Sales].[gross income].[All]" allUniqueName="[Sales].[gross income].[All]" dimensionUniqueName="[Sales]" displayFolder="" count="0" memberValueDatatype="5" unbalanced="0"/>
    <cacheHierarchy uniqueName="[Sales].[gross margin percentage]" caption="gross margin percentage" attribute="1" defaultMemberUniqueName="[Sales].[gross margin percentage].[All]" allUniqueName="[Sales].[gross margin percentage].[All]" dimensionUniqueName="[Sales]" displayFolder="" count="0" memberValueDatatype="5" unbalanced="0"/>
    <cacheHierarchy uniqueName="[Measures].[__XL_Count Sales]" caption="__XL_Count Sales" measure="1" displayFolder="" measureGroup="Sales" count="0" hidden="1"/>
    <cacheHierarchy uniqueName="[Measures].[__XL_Count Products]" caption="__XL_Count Products" measure="1" displayFolder="" measureGroup="Products" count="0" hidden="1"/>
    <cacheHierarchy uniqueName="[Measures].[__No measures defined]" caption="__No measures defined" measure="1" displayFolder="" count="0" hidden="1"/>
    <cacheHierarchy uniqueName="[Measures].[Sum of ProductRating]" caption="Sum of ProductRating" measure="1" displayFolder="" measureGroup="Produ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ProductLine]" caption="Count of ProductLine" measure="1" displayFolder="" measureGroup="Produc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Unit price]" caption="Sum of Unit price" measure="1" displayFolder="" measureGroup="Sal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gross income]" caption="Sum of gross income" measure="1" displayFolder="" measureGroup="Sal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gross margin percentage]" caption="Sum of gross margin percentage" measure="1" displayFolder="" measureGroup="Sal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gross margin percentage]" caption="Count of gross margin percentage" measure="1" displayFolder="" measureGroup="Sal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gross margin percentage]" caption="Average of gross margin percentage" measure="1" displayFolder="" measureGroup="Sale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Quantity]" caption="Sum of Quantity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Quantity]" caption="Count of Quantity" measure="1" displayFolder="" measureGroup="Sale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Quantity]" caption="Average of Quantity" measure="1" displayFolder="" measureGroup="Sale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Max of Quantity]" caption="Max of Quantity" measure="1" displayFolder="" measureGroup="Sale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ProductRating]" caption="Average of ProductRating" measure="1" displayFolder="" measureGroup="Product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Products" uniqueName="[Products]" caption="Products"/>
    <dimension name="Sales" uniqueName="[Sales]" caption="Sales"/>
  </dimensions>
  <measureGroups count="2">
    <measureGroup name="Products" caption="Products"/>
    <measureGroup name="Sales" caption="Sal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7061CF-95E9-4B94-AAED-194BB431A8A3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">
  <location ref="A1:E65" firstHeaderRow="0" firstDataRow="1" firstDataCol="1"/>
  <pivotFields count="7"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3">
    <field x="0"/>
    <field x="1"/>
    <field x="3"/>
  </rowFields>
  <rowItems count="64">
    <i>
      <x/>
    </i>
    <i r="1">
      <x/>
    </i>
    <i r="2">
      <x/>
    </i>
    <i>
      <x v="1"/>
    </i>
    <i r="1">
      <x v="1"/>
    </i>
    <i r="2">
      <x/>
    </i>
    <i>
      <x v="2"/>
    </i>
    <i r="1">
      <x v="2"/>
    </i>
    <i r="2">
      <x v="1"/>
    </i>
    <i>
      <x v="3"/>
    </i>
    <i r="1">
      <x v="3"/>
    </i>
    <i r="2">
      <x/>
    </i>
    <i>
      <x v="4"/>
    </i>
    <i r="1">
      <x v="3"/>
    </i>
    <i r="2">
      <x/>
    </i>
    <i>
      <x v="5"/>
    </i>
    <i r="1">
      <x v="2"/>
    </i>
    <i r="2">
      <x v="1"/>
    </i>
    <i>
      <x v="6"/>
    </i>
    <i r="1">
      <x v="4"/>
    </i>
    <i r="2">
      <x v="1"/>
    </i>
    <i>
      <x v="7"/>
    </i>
    <i r="1">
      <x v="5"/>
    </i>
    <i r="2">
      <x/>
    </i>
    <i>
      <x v="8"/>
    </i>
    <i r="1">
      <x v="6"/>
    </i>
    <i r="2">
      <x v="2"/>
    </i>
    <i>
      <x v="9"/>
    </i>
    <i r="1">
      <x v="3"/>
    </i>
    <i r="2">
      <x/>
    </i>
    <i>
      <x v="10"/>
    </i>
    <i r="1">
      <x v="5"/>
    </i>
    <i r="2">
      <x/>
    </i>
    <i>
      <x v="11"/>
    </i>
    <i r="1">
      <x v="6"/>
    </i>
    <i r="2">
      <x v="2"/>
    </i>
    <i>
      <x v="12"/>
    </i>
    <i r="1">
      <x v="7"/>
    </i>
    <i r="2">
      <x v="1"/>
    </i>
    <i>
      <x v="13"/>
    </i>
    <i r="1">
      <x v="8"/>
    </i>
    <i r="2">
      <x v="2"/>
    </i>
    <i>
      <x v="14"/>
    </i>
    <i r="1">
      <x v="7"/>
    </i>
    <i r="2">
      <x v="1"/>
    </i>
    <i>
      <x v="15"/>
    </i>
    <i r="1">
      <x v="9"/>
    </i>
    <i r="2">
      <x v="2"/>
    </i>
    <i>
      <x v="16"/>
    </i>
    <i r="1">
      <x v="2"/>
    </i>
    <i r="2">
      <x v="1"/>
    </i>
    <i>
      <x v="17"/>
    </i>
    <i r="1">
      <x v="10"/>
    </i>
    <i r="2">
      <x v="2"/>
    </i>
    <i>
      <x v="18"/>
    </i>
    <i r="1">
      <x v="1"/>
    </i>
    <i r="2">
      <x/>
    </i>
    <i>
      <x v="19"/>
    </i>
    <i r="1">
      <x v="4"/>
    </i>
    <i r="2">
      <x v="1"/>
    </i>
    <i>
      <x v="20"/>
    </i>
    <i r="1">
      <x v="2"/>
    </i>
    <i r="2"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Quantity" fld="2" baseField="0" baseItem="3"/>
    <dataField name="Average of ProductRating" fld="4" subtotal="average" baseField="0" baseItem="2"/>
    <dataField name="Sum of gross income" fld="5" baseField="0" baseItem="0"/>
    <dataField name="Average of gross margin percentage" fld="6" subtotal="average" baseField="0" baseItem="0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unt of gross margin percentage"/>
    <pivotHierarchy dragToData="1" caption="Average of gross margin percentage"/>
    <pivotHierarchy dragToData="1" caption="Sum of Quantity"/>
    <pivotHierarchy dragToData="1" caption="Count of Quantity"/>
    <pivotHierarchy dragToData="1" caption="Average of Quantity"/>
    <pivotHierarchy dragToData="1" caption="Max of Quantity"/>
    <pivotHierarchy dragToData="1" caption="Average of ProductRating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1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5C55-4D91-4C5E-BE00-0D4AB3B38DBD}">
  <sheetPr codeName="Sheet1"/>
  <dimension ref="A1:I23"/>
  <sheetViews>
    <sheetView showGridLines="0" workbookViewId="0">
      <selection activeCell="F2" sqref="F2"/>
    </sheetView>
  </sheetViews>
  <sheetFormatPr baseColWidth="10" defaultColWidth="8.83203125" defaultRowHeight="15" x14ac:dyDescent="0.2"/>
  <cols>
    <col min="1" max="1" width="9.5" bestFit="1" customWidth="1"/>
    <col min="2" max="2" width="14.1640625" bestFit="1" customWidth="1"/>
    <col min="3" max="3" width="15.33203125" bestFit="1" customWidth="1"/>
    <col min="4" max="4" width="13.5" bestFit="1" customWidth="1"/>
    <col min="7" max="7" width="13.1640625" bestFit="1" customWidth="1"/>
    <col min="8" max="8" width="14.5" bestFit="1" customWidth="1"/>
  </cols>
  <sheetData>
    <row r="1" spans="1:9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F1" s="9" t="s">
        <v>77</v>
      </c>
      <c r="G1" s="9"/>
      <c r="H1" s="9"/>
      <c r="I1" s="9"/>
    </row>
    <row r="2" spans="1:9" x14ac:dyDescent="0.2">
      <c r="A2" t="s">
        <v>4</v>
      </c>
      <c r="B2" t="s">
        <v>5</v>
      </c>
      <c r="C2" t="s">
        <v>6</v>
      </c>
      <c r="D2">
        <v>9.1</v>
      </c>
      <c r="F2" t="s">
        <v>78</v>
      </c>
      <c r="G2" t="s">
        <v>70</v>
      </c>
      <c r="H2" t="s">
        <v>31</v>
      </c>
      <c r="I2" s="2">
        <v>5.4</v>
      </c>
    </row>
    <row r="3" spans="1:9" x14ac:dyDescent="0.2">
      <c r="A3" t="s">
        <v>10</v>
      </c>
      <c r="B3" t="s">
        <v>11</v>
      </c>
      <c r="C3" t="s">
        <v>6</v>
      </c>
      <c r="D3">
        <v>8.1999999999999993</v>
      </c>
    </row>
    <row r="4" spans="1:9" x14ac:dyDescent="0.2">
      <c r="A4" t="s">
        <v>12</v>
      </c>
      <c r="B4" t="s">
        <v>13</v>
      </c>
      <c r="C4" t="s">
        <v>9</v>
      </c>
      <c r="D4">
        <v>7.4</v>
      </c>
    </row>
    <row r="5" spans="1:9" x14ac:dyDescent="0.2">
      <c r="A5" t="s">
        <v>14</v>
      </c>
      <c r="B5" t="s">
        <v>15</v>
      </c>
      <c r="C5" t="s">
        <v>6</v>
      </c>
      <c r="D5">
        <v>6.4</v>
      </c>
    </row>
    <row r="6" spans="1:9" x14ac:dyDescent="0.2">
      <c r="A6" t="s">
        <v>16</v>
      </c>
      <c r="B6" t="s">
        <v>17</v>
      </c>
      <c r="C6" t="s">
        <v>9</v>
      </c>
      <c r="D6">
        <v>7.3</v>
      </c>
    </row>
    <row r="7" spans="1:9" x14ac:dyDescent="0.2">
      <c r="A7" t="s">
        <v>18</v>
      </c>
      <c r="B7" t="s">
        <v>13</v>
      </c>
      <c r="C7" t="s">
        <v>9</v>
      </c>
      <c r="D7">
        <v>7.1</v>
      </c>
    </row>
    <row r="8" spans="1:9" x14ac:dyDescent="0.2">
      <c r="A8" t="s">
        <v>19</v>
      </c>
      <c r="B8" t="s">
        <v>13</v>
      </c>
      <c r="C8" t="s">
        <v>9</v>
      </c>
      <c r="D8">
        <v>9.8000000000000007</v>
      </c>
    </row>
    <row r="9" spans="1:9" x14ac:dyDescent="0.2">
      <c r="A9" t="s">
        <v>20</v>
      </c>
      <c r="B9" t="s">
        <v>11</v>
      </c>
      <c r="C9" t="s">
        <v>6</v>
      </c>
      <c r="D9">
        <v>8</v>
      </c>
    </row>
    <row r="10" spans="1:9" x14ac:dyDescent="0.2">
      <c r="A10" t="s">
        <v>21</v>
      </c>
      <c r="B10" t="s">
        <v>22</v>
      </c>
      <c r="C10" t="s">
        <v>9</v>
      </c>
      <c r="D10">
        <v>7.2</v>
      </c>
    </row>
    <row r="11" spans="1:9" x14ac:dyDescent="0.2">
      <c r="A11" t="s">
        <v>23</v>
      </c>
      <c r="B11" t="s">
        <v>5</v>
      </c>
      <c r="C11" t="s">
        <v>6</v>
      </c>
      <c r="D11">
        <v>5.9</v>
      </c>
    </row>
    <row r="12" spans="1:9" x14ac:dyDescent="0.2">
      <c r="A12" t="s">
        <v>24</v>
      </c>
      <c r="B12" t="s">
        <v>15</v>
      </c>
      <c r="C12" t="s">
        <v>6</v>
      </c>
      <c r="D12">
        <v>6.8</v>
      </c>
    </row>
    <row r="13" spans="1:9" x14ac:dyDescent="0.2">
      <c r="A13" t="s">
        <v>25</v>
      </c>
      <c r="B13" t="s">
        <v>5</v>
      </c>
      <c r="C13" t="s">
        <v>6</v>
      </c>
      <c r="D13">
        <v>6.6</v>
      </c>
    </row>
    <row r="14" spans="1:9" x14ac:dyDescent="0.2">
      <c r="A14" t="s">
        <v>26</v>
      </c>
      <c r="B14" t="s">
        <v>5</v>
      </c>
      <c r="C14" t="s">
        <v>6</v>
      </c>
      <c r="D14">
        <v>8.1999999999999993</v>
      </c>
    </row>
    <row r="15" spans="1:9" x14ac:dyDescent="0.2">
      <c r="A15" t="s">
        <v>27</v>
      </c>
      <c r="B15" t="s">
        <v>22</v>
      </c>
      <c r="C15" t="s">
        <v>9</v>
      </c>
      <c r="D15">
        <v>7.5</v>
      </c>
    </row>
    <row r="16" spans="1:9" x14ac:dyDescent="0.2">
      <c r="A16" t="s">
        <v>28</v>
      </c>
      <c r="B16" t="s">
        <v>17</v>
      </c>
      <c r="C16" t="s">
        <v>9</v>
      </c>
      <c r="D16">
        <v>4.4000000000000004</v>
      </c>
    </row>
    <row r="17" spans="1:4" x14ac:dyDescent="0.2">
      <c r="A17" t="s">
        <v>29</v>
      </c>
      <c r="B17" t="s">
        <v>30</v>
      </c>
      <c r="C17" t="s">
        <v>31</v>
      </c>
      <c r="D17">
        <v>6.6</v>
      </c>
    </row>
    <row r="18" spans="1:4" x14ac:dyDescent="0.2">
      <c r="A18" t="s">
        <v>32</v>
      </c>
      <c r="B18" t="s">
        <v>33</v>
      </c>
      <c r="C18" t="s">
        <v>31</v>
      </c>
      <c r="D18">
        <v>4.9000000000000004</v>
      </c>
    </row>
    <row r="19" spans="1:4" x14ac:dyDescent="0.2">
      <c r="A19" t="s">
        <v>7</v>
      </c>
      <c r="B19" t="s">
        <v>8</v>
      </c>
      <c r="C19" t="s">
        <v>9</v>
      </c>
      <c r="D19">
        <v>7.9</v>
      </c>
    </row>
    <row r="20" spans="1:4" x14ac:dyDescent="0.2">
      <c r="A20" t="s">
        <v>66</v>
      </c>
      <c r="B20" t="s">
        <v>67</v>
      </c>
      <c r="C20" t="s">
        <v>31</v>
      </c>
      <c r="D20">
        <v>8</v>
      </c>
    </row>
    <row r="21" spans="1:4" x14ac:dyDescent="0.2">
      <c r="A21" t="s">
        <v>68</v>
      </c>
      <c r="B21" t="s">
        <v>67</v>
      </c>
      <c r="C21" t="s">
        <v>31</v>
      </c>
      <c r="D21">
        <v>6.8</v>
      </c>
    </row>
    <row r="22" spans="1:4" x14ac:dyDescent="0.2">
      <c r="A22" t="s">
        <v>69</v>
      </c>
      <c r="B22" t="s">
        <v>70</v>
      </c>
      <c r="C22" t="s">
        <v>31</v>
      </c>
      <c r="D22">
        <v>8.3000000000000007</v>
      </c>
    </row>
    <row r="23" spans="1:4" x14ac:dyDescent="0.2">
      <c r="A23" t="s">
        <v>78</v>
      </c>
      <c r="B23" t="s">
        <v>70</v>
      </c>
      <c r="C23" t="s">
        <v>31</v>
      </c>
      <c r="D23">
        <v>5.4</v>
      </c>
    </row>
  </sheetData>
  <sortState xmlns:xlrd2="http://schemas.microsoft.com/office/spreadsheetml/2017/richdata2" ref="A2:D18">
    <sortCondition ref="A2:A18"/>
  </sortState>
  <mergeCells count="1">
    <mergeCell ref="F1:I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Database">
                <anchor moveWithCells="1">
                  <from>
                    <xdr:col>11</xdr:col>
                    <xdr:colOff>101600</xdr:colOff>
                    <xdr:row>11</xdr:row>
                    <xdr:rowOff>114300</xdr:rowOff>
                  </from>
                  <to>
                    <xdr:col>16</xdr:col>
                    <xdr:colOff>25400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ToDatabase">
                <anchor moveWithCells="1">
                  <from>
                    <xdr:col>11</xdr:col>
                    <xdr:colOff>139700</xdr:colOff>
                    <xdr:row>3</xdr:row>
                    <xdr:rowOff>38100</xdr:rowOff>
                  </from>
                  <to>
                    <xdr:col>16</xdr:col>
                    <xdr:colOff>25400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69B5D-F73D-4EDF-83B1-1D587102EE4B}">
  <sheetPr codeName="Sheet2"/>
  <dimension ref="A1:L25"/>
  <sheetViews>
    <sheetView workbookViewId="0">
      <selection activeCell="H9" sqref="H9"/>
    </sheetView>
  </sheetViews>
  <sheetFormatPr baseColWidth="10" defaultColWidth="8.83203125" defaultRowHeight="15" x14ac:dyDescent="0.2"/>
  <cols>
    <col min="1" max="1" width="11.5" bestFit="1" customWidth="1"/>
    <col min="2" max="2" width="10.1640625" bestFit="1" customWidth="1"/>
    <col min="6" max="6" width="12.1640625" bestFit="1" customWidth="1"/>
    <col min="8" max="8" width="12.5" bestFit="1" customWidth="1"/>
    <col min="9" max="9" width="23" bestFit="1" customWidth="1"/>
    <col min="12" max="12" width="19.1640625" bestFit="1" customWidth="1"/>
  </cols>
  <sheetData>
    <row r="1" spans="1:12" s="1" customFormat="1" x14ac:dyDescent="0.2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80</v>
      </c>
      <c r="G1" s="1" t="s">
        <v>39</v>
      </c>
      <c r="H1" s="1" t="s">
        <v>40</v>
      </c>
      <c r="I1" s="1" t="s">
        <v>41</v>
      </c>
      <c r="L1" s="1" t="s">
        <v>76</v>
      </c>
    </row>
    <row r="2" spans="1:12" x14ac:dyDescent="0.2">
      <c r="A2" t="s">
        <v>42</v>
      </c>
      <c r="B2" t="s">
        <v>4</v>
      </c>
      <c r="C2">
        <v>325.89982047291369</v>
      </c>
      <c r="D2" s="8">
        <v>7</v>
      </c>
      <c r="E2">
        <v>140</v>
      </c>
      <c r="F2">
        <f t="shared" ref="F2:F25" si="0">C2*D2</f>
        <v>2281.2987433103958</v>
      </c>
      <c r="G2">
        <f t="shared" ref="G2:G25" si="1">E2*D2</f>
        <v>980</v>
      </c>
      <c r="H2">
        <f t="shared" ref="H2:H10" si="2">F2-G2</f>
        <v>1301.2987433103958</v>
      </c>
      <c r="I2">
        <f>((F2-G2)/F2)*100</f>
        <v>57.042013770720764</v>
      </c>
      <c r="L2" cm="1">
        <f t="array" ref="L2">AVERAGE((((F2:F25)-(G2:G25))/(F2:F25))*100)</f>
        <v>60.000000810069139</v>
      </c>
    </row>
    <row r="3" spans="1:12" x14ac:dyDescent="0.2">
      <c r="A3" t="s">
        <v>43</v>
      </c>
      <c r="B3" t="s">
        <v>10</v>
      </c>
      <c r="C3">
        <v>264.63158603084833</v>
      </c>
      <c r="D3" s="8">
        <v>4.9999994775239305</v>
      </c>
      <c r="E3">
        <v>75</v>
      </c>
      <c r="F3">
        <f t="shared" si="0"/>
        <v>1323.1577918905707</v>
      </c>
      <c r="G3">
        <f t="shared" si="1"/>
        <v>374.99996081429481</v>
      </c>
      <c r="H3">
        <f t="shared" si="2"/>
        <v>948.1578310762759</v>
      </c>
      <c r="I3">
        <f t="shared" ref="I3:I25" si="3">((F3-G3)/F3)*100</f>
        <v>71.65871197580428</v>
      </c>
    </row>
    <row r="4" spans="1:12" x14ac:dyDescent="0.2">
      <c r="A4" t="s">
        <v>44</v>
      </c>
      <c r="B4" t="s">
        <v>12</v>
      </c>
      <c r="C4">
        <v>384.97541641679953</v>
      </c>
      <c r="D4" s="8">
        <v>7</v>
      </c>
      <c r="E4">
        <v>252.683396509407</v>
      </c>
      <c r="F4">
        <f t="shared" si="0"/>
        <v>2694.8279149175969</v>
      </c>
      <c r="G4">
        <f t="shared" si="1"/>
        <v>1768.7837755658491</v>
      </c>
      <c r="H4">
        <f t="shared" si="2"/>
        <v>926.04413935174784</v>
      </c>
      <c r="I4">
        <f t="shared" si="3"/>
        <v>34.363757857245766</v>
      </c>
    </row>
    <row r="5" spans="1:12" x14ac:dyDescent="0.2">
      <c r="A5" t="s">
        <v>45</v>
      </c>
      <c r="B5" t="s">
        <v>14</v>
      </c>
      <c r="C5">
        <v>261.12164651730791</v>
      </c>
      <c r="D5" s="8">
        <v>8</v>
      </c>
      <c r="E5">
        <v>72</v>
      </c>
      <c r="F5">
        <f t="shared" si="0"/>
        <v>2088.9731721384633</v>
      </c>
      <c r="G5">
        <f t="shared" si="1"/>
        <v>576</v>
      </c>
      <c r="H5">
        <f t="shared" si="2"/>
        <v>1512.9731721384633</v>
      </c>
      <c r="I5">
        <f>((F5-G5)/F5)*100</f>
        <v>72.426644454684222</v>
      </c>
    </row>
    <row r="6" spans="1:12" x14ac:dyDescent="0.2">
      <c r="A6" t="s">
        <v>46</v>
      </c>
      <c r="B6" t="s">
        <v>16</v>
      </c>
      <c r="C6">
        <v>295.01525556848912</v>
      </c>
      <c r="D6" s="8">
        <v>7</v>
      </c>
      <c r="E6">
        <v>104</v>
      </c>
      <c r="F6">
        <f t="shared" si="0"/>
        <v>2065.106788979424</v>
      </c>
      <c r="G6">
        <f t="shared" si="1"/>
        <v>728</v>
      </c>
      <c r="H6">
        <f t="shared" si="2"/>
        <v>1337.106788979424</v>
      </c>
      <c r="I6">
        <f t="shared" si="3"/>
        <v>64.747585747864505</v>
      </c>
    </row>
    <row r="7" spans="1:12" x14ac:dyDescent="0.2">
      <c r="A7" t="s">
        <v>47</v>
      </c>
      <c r="B7" t="s">
        <v>18</v>
      </c>
      <c r="C7">
        <v>327.32614600606644</v>
      </c>
      <c r="D7" s="8">
        <v>7.0000003918570401</v>
      </c>
      <c r="E7">
        <v>141</v>
      </c>
      <c r="F7">
        <f t="shared" si="0"/>
        <v>2291.2831503075199</v>
      </c>
      <c r="G7">
        <f t="shared" si="1"/>
        <v>987.0000552518427</v>
      </c>
      <c r="H7">
        <f t="shared" si="2"/>
        <v>1304.2830950556772</v>
      </c>
      <c r="I7">
        <f t="shared" si="3"/>
        <v>56.923697749037494</v>
      </c>
    </row>
    <row r="8" spans="1:12" x14ac:dyDescent="0.2">
      <c r="A8" t="s">
        <v>48</v>
      </c>
      <c r="B8" t="s">
        <v>19</v>
      </c>
      <c r="C8">
        <v>340.43524649914184</v>
      </c>
      <c r="D8" s="8">
        <v>6.0000004478366105</v>
      </c>
      <c r="E8">
        <v>154</v>
      </c>
      <c r="F8">
        <f t="shared" si="0"/>
        <v>2042.611631454218</v>
      </c>
      <c r="G8">
        <f t="shared" si="1"/>
        <v>924.00006896683806</v>
      </c>
      <c r="H8">
        <f t="shared" si="2"/>
        <v>1118.6115624873801</v>
      </c>
      <c r="I8">
        <f t="shared" si="3"/>
        <v>54.763790887208216</v>
      </c>
    </row>
    <row r="9" spans="1:12" x14ac:dyDescent="0.2">
      <c r="A9" t="s">
        <v>49</v>
      </c>
      <c r="B9" t="s">
        <v>20</v>
      </c>
      <c r="C9">
        <v>257.39572639157177</v>
      </c>
      <c r="D9" s="8">
        <v>10</v>
      </c>
      <c r="E9">
        <v>69</v>
      </c>
      <c r="F9">
        <f t="shared" si="0"/>
        <v>2573.9572639157177</v>
      </c>
      <c r="G9">
        <f t="shared" si="1"/>
        <v>690</v>
      </c>
      <c r="H9">
        <f t="shared" si="2"/>
        <v>1883.9572639157177</v>
      </c>
      <c r="I9">
        <f t="shared" si="3"/>
        <v>73.193028117711847</v>
      </c>
    </row>
    <row r="10" spans="1:12" x14ac:dyDescent="0.2">
      <c r="A10" t="s">
        <v>50</v>
      </c>
      <c r="B10" t="s">
        <v>21</v>
      </c>
      <c r="C10">
        <v>398.78380638925529</v>
      </c>
      <c r="D10" s="8">
        <v>2</v>
      </c>
      <c r="E10">
        <v>235</v>
      </c>
      <c r="F10">
        <f t="shared" si="0"/>
        <v>797.56761277851058</v>
      </c>
      <c r="G10">
        <f t="shared" si="1"/>
        <v>470</v>
      </c>
      <c r="H10">
        <f t="shared" si="2"/>
        <v>327.56761277851058</v>
      </c>
      <c r="I10">
        <f t="shared" si="3"/>
        <v>41.07082679013925</v>
      </c>
    </row>
    <row r="11" spans="1:12" x14ac:dyDescent="0.2">
      <c r="A11" t="s">
        <v>51</v>
      </c>
      <c r="B11" t="s">
        <v>23</v>
      </c>
      <c r="C11">
        <v>311.34989772098817</v>
      </c>
      <c r="D11" s="8">
        <v>3</v>
      </c>
      <c r="E11">
        <v>122</v>
      </c>
      <c r="F11">
        <f t="shared" si="0"/>
        <v>934.04969316296456</v>
      </c>
      <c r="G11">
        <f t="shared" si="1"/>
        <v>366</v>
      </c>
      <c r="H11">
        <f t="shared" ref="H11" si="4">F11-G11</f>
        <v>568.04969316296456</v>
      </c>
      <c r="I11">
        <f t="shared" si="3"/>
        <v>60.815789279838285</v>
      </c>
    </row>
    <row r="12" spans="1:12" x14ac:dyDescent="0.2">
      <c r="A12" t="s">
        <v>52</v>
      </c>
      <c r="B12" t="s">
        <v>12</v>
      </c>
      <c r="C12">
        <v>318.59696639476687</v>
      </c>
      <c r="D12" s="8">
        <v>4</v>
      </c>
      <c r="E12">
        <v>129</v>
      </c>
      <c r="F12">
        <f t="shared" si="0"/>
        <v>1274.3878655790675</v>
      </c>
      <c r="G12">
        <f t="shared" si="1"/>
        <v>516</v>
      </c>
      <c r="H12">
        <f t="shared" ref="H12:H25" si="5">F12-G12</f>
        <v>758.38786557906747</v>
      </c>
      <c r="I12">
        <f t="shared" si="3"/>
        <v>59.509972282611514</v>
      </c>
    </row>
    <row r="13" spans="1:12" x14ac:dyDescent="0.2">
      <c r="A13" t="s">
        <v>53</v>
      </c>
      <c r="B13" t="s">
        <v>24</v>
      </c>
      <c r="C13">
        <v>261.09358207039929</v>
      </c>
      <c r="D13" s="8">
        <v>4</v>
      </c>
      <c r="E13">
        <v>72</v>
      </c>
      <c r="F13">
        <f t="shared" si="0"/>
        <v>1044.3743282815972</v>
      </c>
      <c r="G13">
        <f t="shared" si="1"/>
        <v>288</v>
      </c>
      <c r="H13">
        <f t="shared" si="5"/>
        <v>756.37432828159717</v>
      </c>
      <c r="I13">
        <f t="shared" si="3"/>
        <v>72.423680647735551</v>
      </c>
    </row>
    <row r="14" spans="1:12" x14ac:dyDescent="0.2">
      <c r="A14" t="s">
        <v>54</v>
      </c>
      <c r="B14" t="s">
        <v>25</v>
      </c>
      <c r="C14">
        <v>314.83218575057197</v>
      </c>
      <c r="D14" s="8">
        <v>5</v>
      </c>
      <c r="E14">
        <v>126</v>
      </c>
      <c r="F14">
        <f t="shared" si="0"/>
        <v>1574.1609287528599</v>
      </c>
      <c r="G14">
        <f t="shared" si="1"/>
        <v>630</v>
      </c>
      <c r="H14">
        <f t="shared" si="5"/>
        <v>944.16092875285995</v>
      </c>
      <c r="I14">
        <f t="shared" si="3"/>
        <v>59.978678895357795</v>
      </c>
    </row>
    <row r="15" spans="1:12" x14ac:dyDescent="0.2">
      <c r="A15" t="s">
        <v>55</v>
      </c>
      <c r="B15" t="s">
        <v>26</v>
      </c>
      <c r="C15">
        <v>313.7626763340171</v>
      </c>
      <c r="D15" s="8">
        <v>10</v>
      </c>
      <c r="E15">
        <v>124</v>
      </c>
      <c r="F15">
        <f t="shared" si="0"/>
        <v>3137.6267633401712</v>
      </c>
      <c r="G15">
        <f t="shared" si="1"/>
        <v>1240</v>
      </c>
      <c r="H15">
        <f t="shared" si="5"/>
        <v>1897.6267633401712</v>
      </c>
      <c r="I15">
        <f t="shared" si="3"/>
        <v>60.479684375207398</v>
      </c>
    </row>
    <row r="16" spans="1:12" x14ac:dyDescent="0.2">
      <c r="A16" t="s">
        <v>56</v>
      </c>
      <c r="B16" t="s">
        <v>27</v>
      </c>
      <c r="C16">
        <v>364.56284689298593</v>
      </c>
      <c r="D16" s="8">
        <v>10</v>
      </c>
      <c r="E16">
        <v>187</v>
      </c>
      <c r="F16">
        <f t="shared" si="0"/>
        <v>3645.6284689298591</v>
      </c>
      <c r="G16">
        <f t="shared" si="1"/>
        <v>1870</v>
      </c>
      <c r="H16">
        <f t="shared" si="5"/>
        <v>1775.6284689298591</v>
      </c>
      <c r="I16">
        <f t="shared" si="3"/>
        <v>48.70568913049658</v>
      </c>
    </row>
    <row r="17" spans="1:9" x14ac:dyDescent="0.2">
      <c r="A17" t="s">
        <v>57</v>
      </c>
      <c r="B17" t="s">
        <v>19</v>
      </c>
      <c r="C17">
        <v>340.43524649914184</v>
      </c>
      <c r="D17" s="8">
        <v>6</v>
      </c>
      <c r="E17">
        <v>154</v>
      </c>
      <c r="F17">
        <f t="shared" si="0"/>
        <v>2042.611478994851</v>
      </c>
      <c r="G17">
        <f t="shared" si="1"/>
        <v>924</v>
      </c>
      <c r="H17">
        <f t="shared" si="5"/>
        <v>1118.611478994851</v>
      </c>
      <c r="I17">
        <f t="shared" si="3"/>
        <v>54.763790887208209</v>
      </c>
    </row>
    <row r="18" spans="1:9" x14ac:dyDescent="0.2">
      <c r="A18" t="s">
        <v>58</v>
      </c>
      <c r="B18" t="s">
        <v>14</v>
      </c>
      <c r="C18">
        <v>261.12164651730791</v>
      </c>
      <c r="D18" s="8">
        <v>7</v>
      </c>
      <c r="E18">
        <v>72</v>
      </c>
      <c r="F18">
        <f t="shared" si="0"/>
        <v>1827.8515256211554</v>
      </c>
      <c r="G18">
        <f t="shared" si="1"/>
        <v>504</v>
      </c>
      <c r="H18">
        <f t="shared" si="5"/>
        <v>1323.8515256211554</v>
      </c>
      <c r="I18">
        <f t="shared" si="3"/>
        <v>72.426644454684222</v>
      </c>
    </row>
    <row r="19" spans="1:9" x14ac:dyDescent="0.2">
      <c r="A19" t="s">
        <v>59</v>
      </c>
      <c r="B19" t="s">
        <v>10</v>
      </c>
      <c r="C19">
        <v>264.63158603084833</v>
      </c>
      <c r="D19" s="8">
        <v>6</v>
      </c>
      <c r="E19">
        <v>75</v>
      </c>
      <c r="F19">
        <f t="shared" si="0"/>
        <v>1587.78951618509</v>
      </c>
      <c r="G19">
        <f t="shared" si="1"/>
        <v>450</v>
      </c>
      <c r="H19">
        <f t="shared" si="5"/>
        <v>1137.78951618509</v>
      </c>
      <c r="I19">
        <f t="shared" si="3"/>
        <v>71.65871197580428</v>
      </c>
    </row>
    <row r="20" spans="1:9" x14ac:dyDescent="0.2">
      <c r="A20" t="s">
        <v>60</v>
      </c>
      <c r="B20" t="s">
        <v>21</v>
      </c>
      <c r="C20">
        <v>398.78380638925529</v>
      </c>
      <c r="D20" s="8">
        <v>3</v>
      </c>
      <c r="E20">
        <v>235</v>
      </c>
      <c r="F20">
        <f t="shared" si="0"/>
        <v>1196.3514191677659</v>
      </c>
      <c r="G20">
        <f t="shared" si="1"/>
        <v>705</v>
      </c>
      <c r="H20">
        <f t="shared" si="5"/>
        <v>491.35141916776593</v>
      </c>
      <c r="I20">
        <f t="shared" si="3"/>
        <v>41.07082679013925</v>
      </c>
    </row>
    <row r="21" spans="1:9" x14ac:dyDescent="0.2">
      <c r="A21" t="s">
        <v>61</v>
      </c>
      <c r="B21" t="s">
        <v>28</v>
      </c>
      <c r="C21">
        <v>314.56341809699421</v>
      </c>
      <c r="D21" s="8">
        <v>2.0000010449521395</v>
      </c>
      <c r="E21">
        <v>126</v>
      </c>
      <c r="F21">
        <f t="shared" si="0"/>
        <v>629.12716489770514</v>
      </c>
      <c r="G21">
        <f t="shared" si="1"/>
        <v>252.00013166396957</v>
      </c>
      <c r="H21">
        <f t="shared" si="5"/>
        <v>377.12703323373557</v>
      </c>
      <c r="I21">
        <f t="shared" si="3"/>
        <v>59.944484084557956</v>
      </c>
    </row>
    <row r="22" spans="1:9" x14ac:dyDescent="0.2">
      <c r="A22" t="s">
        <v>62</v>
      </c>
      <c r="B22" t="s">
        <v>16</v>
      </c>
      <c r="C22">
        <v>295.01525556848912</v>
      </c>
      <c r="D22" s="8">
        <v>5</v>
      </c>
      <c r="E22">
        <v>104</v>
      </c>
      <c r="F22">
        <f t="shared" si="0"/>
        <v>1475.0762778424455</v>
      </c>
      <c r="G22">
        <f t="shared" si="1"/>
        <v>520</v>
      </c>
      <c r="H22">
        <f t="shared" si="5"/>
        <v>955.07627784244551</v>
      </c>
      <c r="I22">
        <f t="shared" si="3"/>
        <v>64.747585747864505</v>
      </c>
    </row>
    <row r="23" spans="1:9" x14ac:dyDescent="0.2">
      <c r="A23" t="s">
        <v>63</v>
      </c>
      <c r="B23" t="s">
        <v>20</v>
      </c>
      <c r="C23">
        <v>257.39572639157177</v>
      </c>
      <c r="D23" s="8">
        <v>3</v>
      </c>
      <c r="E23">
        <v>69</v>
      </c>
      <c r="F23">
        <f t="shared" si="0"/>
        <v>772.18717917471531</v>
      </c>
      <c r="G23">
        <f t="shared" si="1"/>
        <v>207</v>
      </c>
      <c r="H23">
        <f t="shared" si="5"/>
        <v>565.18717917471531</v>
      </c>
      <c r="I23">
        <f t="shared" si="3"/>
        <v>73.193028117711847</v>
      </c>
    </row>
    <row r="24" spans="1:9" x14ac:dyDescent="0.2">
      <c r="A24" t="s">
        <v>64</v>
      </c>
      <c r="B24" t="s">
        <v>25</v>
      </c>
      <c r="C24">
        <v>314.83218575057197</v>
      </c>
      <c r="D24" s="8">
        <v>2.0000005224760695</v>
      </c>
      <c r="E24">
        <v>126</v>
      </c>
      <c r="F24">
        <f t="shared" si="0"/>
        <v>629.66453599342685</v>
      </c>
      <c r="G24">
        <f t="shared" si="1"/>
        <v>252.00006583198476</v>
      </c>
      <c r="H24">
        <f t="shared" si="5"/>
        <v>377.66447016144207</v>
      </c>
      <c r="I24">
        <f t="shared" si="3"/>
        <v>59.978678895357795</v>
      </c>
    </row>
    <row r="25" spans="1:9" x14ac:dyDescent="0.2">
      <c r="A25" t="s">
        <v>65</v>
      </c>
      <c r="B25" t="s">
        <v>12</v>
      </c>
      <c r="C25">
        <v>337.78421442201784</v>
      </c>
      <c r="D25" s="8">
        <v>4.9999999998853761</v>
      </c>
      <c r="E25">
        <v>155</v>
      </c>
      <c r="F25">
        <f t="shared" si="0"/>
        <v>1688.9210720713711</v>
      </c>
      <c r="G25">
        <f t="shared" si="1"/>
        <v>774.99999998223325</v>
      </c>
      <c r="H25">
        <f t="shared" si="5"/>
        <v>913.92107208913785</v>
      </c>
      <c r="I25">
        <f t="shared" si="3"/>
        <v>54.112716526667683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58A-FB35-43CD-B9C0-32F3C249C4E1}">
  <sheetPr codeName="Sheet7"/>
  <dimension ref="A1:E65"/>
  <sheetViews>
    <sheetView tabSelected="1" workbookViewId="0">
      <selection activeCell="E10" sqref="E10"/>
    </sheetView>
  </sheetViews>
  <sheetFormatPr baseColWidth="10" defaultColWidth="8.83203125" defaultRowHeight="15" x14ac:dyDescent="0.2"/>
  <cols>
    <col min="1" max="1" width="21" bestFit="1" customWidth="1"/>
    <col min="2" max="2" width="15.5" bestFit="1" customWidth="1"/>
    <col min="3" max="3" width="23.83203125" bestFit="1" customWidth="1"/>
    <col min="4" max="4" width="19.5" bestFit="1" customWidth="1"/>
    <col min="5" max="5" width="33.33203125" bestFit="1" customWidth="1"/>
    <col min="6" max="6" width="6" bestFit="1" customWidth="1"/>
    <col min="7" max="7" width="13.1640625" bestFit="1" customWidth="1"/>
    <col min="8" max="8" width="13.5" bestFit="1" customWidth="1"/>
    <col min="9" max="9" width="6.6640625" bestFit="1" customWidth="1"/>
    <col min="10" max="10" width="10.83203125" bestFit="1" customWidth="1"/>
    <col min="11" max="11" width="11.33203125" bestFit="1" customWidth="1"/>
    <col min="12" max="12" width="5.6640625" bestFit="1" customWidth="1"/>
    <col min="13" max="13" width="11.33203125" bestFit="1" customWidth="1"/>
  </cols>
  <sheetData>
    <row r="1" spans="1:5" x14ac:dyDescent="0.2">
      <c r="A1" s="3" t="s">
        <v>73</v>
      </c>
      <c r="B1" t="s">
        <v>74</v>
      </c>
      <c r="C1" t="s">
        <v>75</v>
      </c>
      <c r="D1" t="s">
        <v>72</v>
      </c>
      <c r="E1" t="s">
        <v>79</v>
      </c>
    </row>
    <row r="2" spans="1:5" x14ac:dyDescent="0.2">
      <c r="A2" s="4" t="s">
        <v>7</v>
      </c>
    </row>
    <row r="3" spans="1:5" x14ac:dyDescent="0.2">
      <c r="A3" s="5" t="s">
        <v>8</v>
      </c>
    </row>
    <row r="4" spans="1:5" x14ac:dyDescent="0.2">
      <c r="A4" s="6" t="s">
        <v>9</v>
      </c>
      <c r="C4">
        <v>7.9</v>
      </c>
      <c r="D4" s="7"/>
    </row>
    <row r="5" spans="1:5" x14ac:dyDescent="0.2">
      <c r="A5" s="4" t="s">
        <v>27</v>
      </c>
    </row>
    <row r="6" spans="1:5" x14ac:dyDescent="0.2">
      <c r="A6" s="5" t="s">
        <v>22</v>
      </c>
    </row>
    <row r="7" spans="1:5" x14ac:dyDescent="0.2">
      <c r="A7" s="6" t="s">
        <v>9</v>
      </c>
      <c r="B7">
        <v>10</v>
      </c>
      <c r="C7">
        <v>7.5</v>
      </c>
      <c r="D7" s="7">
        <v>330</v>
      </c>
      <c r="E7">
        <v>15</v>
      </c>
    </row>
    <row r="8" spans="1:5" x14ac:dyDescent="0.2">
      <c r="A8" s="4" t="s">
        <v>26</v>
      </c>
    </row>
    <row r="9" spans="1:5" x14ac:dyDescent="0.2">
      <c r="A9" s="5" t="s">
        <v>5</v>
      </c>
    </row>
    <row r="10" spans="1:5" x14ac:dyDescent="0.2">
      <c r="A10" s="6" t="s">
        <v>6</v>
      </c>
      <c r="B10">
        <v>10</v>
      </c>
      <c r="C10">
        <v>8.1999999999999993</v>
      </c>
      <c r="D10" s="7">
        <v>360</v>
      </c>
      <c r="E10">
        <v>22.5</v>
      </c>
    </row>
    <row r="11" spans="1:5" x14ac:dyDescent="0.2">
      <c r="A11" s="4" t="s">
        <v>12</v>
      </c>
    </row>
    <row r="12" spans="1:5" x14ac:dyDescent="0.2">
      <c r="A12" s="5" t="s">
        <v>13</v>
      </c>
    </row>
    <row r="13" spans="1:5" x14ac:dyDescent="0.2">
      <c r="A13" s="6" t="s">
        <v>9</v>
      </c>
      <c r="B13">
        <v>16</v>
      </c>
      <c r="C13">
        <v>7.4</v>
      </c>
      <c r="D13" s="7">
        <v>344</v>
      </c>
      <c r="E13">
        <v>13.921568627450981</v>
      </c>
    </row>
    <row r="14" spans="1:5" x14ac:dyDescent="0.2">
      <c r="A14" s="4" t="s">
        <v>18</v>
      </c>
    </row>
    <row r="15" spans="1:5" x14ac:dyDescent="0.2">
      <c r="A15" s="5" t="s">
        <v>13</v>
      </c>
    </row>
    <row r="16" spans="1:5" x14ac:dyDescent="0.2">
      <c r="A16" s="6" t="s">
        <v>9</v>
      </c>
      <c r="B16">
        <v>7</v>
      </c>
      <c r="C16">
        <v>7.1</v>
      </c>
      <c r="D16" s="7">
        <v>168</v>
      </c>
      <c r="E16">
        <v>14.545454545454545</v>
      </c>
    </row>
    <row r="17" spans="1:5" x14ac:dyDescent="0.2">
      <c r="A17" s="4" t="s">
        <v>23</v>
      </c>
    </row>
    <row r="18" spans="1:5" x14ac:dyDescent="0.2">
      <c r="A18" s="5" t="s">
        <v>5</v>
      </c>
    </row>
    <row r="19" spans="1:5" x14ac:dyDescent="0.2">
      <c r="A19" s="6" t="s">
        <v>6</v>
      </c>
      <c r="B19">
        <v>3</v>
      </c>
      <c r="C19">
        <v>5.9</v>
      </c>
      <c r="D19" s="7">
        <v>69</v>
      </c>
      <c r="E19">
        <v>15.862068965517242</v>
      </c>
    </row>
    <row r="20" spans="1:5" x14ac:dyDescent="0.2">
      <c r="A20" s="4" t="s">
        <v>24</v>
      </c>
    </row>
    <row r="21" spans="1:5" x14ac:dyDescent="0.2">
      <c r="A21" s="5" t="s">
        <v>15</v>
      </c>
    </row>
    <row r="22" spans="1:5" x14ac:dyDescent="0.2">
      <c r="A22" s="6" t="s">
        <v>6</v>
      </c>
      <c r="B22">
        <v>4</v>
      </c>
      <c r="C22">
        <v>6.8</v>
      </c>
      <c r="D22" s="7">
        <v>64</v>
      </c>
      <c r="E22">
        <v>18.181818181818183</v>
      </c>
    </row>
    <row r="23" spans="1:5" x14ac:dyDescent="0.2">
      <c r="A23" s="4" t="s">
        <v>28</v>
      </c>
    </row>
    <row r="24" spans="1:5" x14ac:dyDescent="0.2">
      <c r="A24" s="5" t="s">
        <v>17</v>
      </c>
    </row>
    <row r="25" spans="1:5" x14ac:dyDescent="0.2">
      <c r="A25" s="6" t="s">
        <v>9</v>
      </c>
      <c r="B25">
        <v>2</v>
      </c>
      <c r="C25">
        <v>4.4000000000000004</v>
      </c>
      <c r="D25" s="7">
        <v>28</v>
      </c>
      <c r="E25">
        <v>10</v>
      </c>
    </row>
    <row r="26" spans="1:5" x14ac:dyDescent="0.2">
      <c r="A26" s="4" t="s">
        <v>66</v>
      </c>
    </row>
    <row r="27" spans="1:5" x14ac:dyDescent="0.2">
      <c r="A27" s="5" t="s">
        <v>67</v>
      </c>
    </row>
    <row r="28" spans="1:5" x14ac:dyDescent="0.2">
      <c r="A28" s="6" t="s">
        <v>31</v>
      </c>
      <c r="C28">
        <v>8</v>
      </c>
      <c r="D28" s="7"/>
    </row>
    <row r="29" spans="1:5" x14ac:dyDescent="0.2">
      <c r="A29" s="4" t="s">
        <v>19</v>
      </c>
    </row>
    <row r="30" spans="1:5" x14ac:dyDescent="0.2">
      <c r="A30" s="5" t="s">
        <v>13</v>
      </c>
    </row>
    <row r="31" spans="1:5" x14ac:dyDescent="0.2">
      <c r="A31" s="6" t="s">
        <v>9</v>
      </c>
      <c r="B31">
        <v>12</v>
      </c>
      <c r="C31">
        <v>9.8000000000000007</v>
      </c>
      <c r="D31" s="7">
        <v>540</v>
      </c>
      <c r="E31">
        <v>22.613065326633166</v>
      </c>
    </row>
    <row r="32" spans="1:5" x14ac:dyDescent="0.2">
      <c r="A32" s="4" t="s">
        <v>16</v>
      </c>
    </row>
    <row r="33" spans="1:5" x14ac:dyDescent="0.2">
      <c r="A33" s="5" t="s">
        <v>17</v>
      </c>
    </row>
    <row r="34" spans="1:5" x14ac:dyDescent="0.2">
      <c r="A34" s="6" t="s">
        <v>9</v>
      </c>
      <c r="B34">
        <v>12</v>
      </c>
      <c r="C34">
        <v>7.3</v>
      </c>
      <c r="D34" s="7">
        <v>192</v>
      </c>
      <c r="E34">
        <v>13.333333333333334</v>
      </c>
    </row>
    <row r="35" spans="1:5" x14ac:dyDescent="0.2">
      <c r="A35" s="4" t="s">
        <v>68</v>
      </c>
    </row>
    <row r="36" spans="1:5" x14ac:dyDescent="0.2">
      <c r="A36" s="5" t="s">
        <v>67</v>
      </c>
    </row>
    <row r="37" spans="1:5" x14ac:dyDescent="0.2">
      <c r="A37" s="6" t="s">
        <v>31</v>
      </c>
      <c r="C37">
        <v>6.8</v>
      </c>
      <c r="D37" s="7"/>
    </row>
    <row r="38" spans="1:5" x14ac:dyDescent="0.2">
      <c r="A38" s="4" t="s">
        <v>10</v>
      </c>
    </row>
    <row r="39" spans="1:5" x14ac:dyDescent="0.2">
      <c r="A39" s="5" t="s">
        <v>11</v>
      </c>
    </row>
    <row r="40" spans="1:5" x14ac:dyDescent="0.2">
      <c r="A40" s="6" t="s">
        <v>6</v>
      </c>
      <c r="B40">
        <v>11</v>
      </c>
      <c r="C40">
        <v>8.1999999999999993</v>
      </c>
      <c r="D40" s="7">
        <v>209</v>
      </c>
      <c r="E40">
        <v>20.212765957446805</v>
      </c>
    </row>
    <row r="41" spans="1:5" x14ac:dyDescent="0.2">
      <c r="A41" s="4" t="s">
        <v>32</v>
      </c>
    </row>
    <row r="42" spans="1:5" x14ac:dyDescent="0.2">
      <c r="A42" s="5" t="s">
        <v>33</v>
      </c>
    </row>
    <row r="43" spans="1:5" x14ac:dyDescent="0.2">
      <c r="A43" s="6" t="s">
        <v>31</v>
      </c>
      <c r="C43">
        <v>4.9000000000000004</v>
      </c>
      <c r="D43" s="7"/>
    </row>
    <row r="44" spans="1:5" x14ac:dyDescent="0.2">
      <c r="A44" s="4" t="s">
        <v>20</v>
      </c>
    </row>
    <row r="45" spans="1:5" x14ac:dyDescent="0.2">
      <c r="A45" s="5" t="s">
        <v>11</v>
      </c>
    </row>
    <row r="46" spans="1:5" x14ac:dyDescent="0.2">
      <c r="A46" s="6" t="s">
        <v>6</v>
      </c>
      <c r="B46">
        <v>13</v>
      </c>
      <c r="C46">
        <v>8</v>
      </c>
      <c r="D46" s="7">
        <v>247</v>
      </c>
      <c r="E46">
        <v>21.59090909090909</v>
      </c>
    </row>
    <row r="47" spans="1:5" x14ac:dyDescent="0.2">
      <c r="A47" s="4" t="s">
        <v>69</v>
      </c>
    </row>
    <row r="48" spans="1:5" x14ac:dyDescent="0.2">
      <c r="A48" s="5" t="s">
        <v>70</v>
      </c>
    </row>
    <row r="49" spans="1:5" x14ac:dyDescent="0.2">
      <c r="A49" s="6" t="s">
        <v>31</v>
      </c>
      <c r="C49">
        <v>8.3000000000000007</v>
      </c>
      <c r="D49" s="7"/>
    </row>
    <row r="50" spans="1:5" x14ac:dyDescent="0.2">
      <c r="A50" s="4" t="s">
        <v>25</v>
      </c>
    </row>
    <row r="51" spans="1:5" x14ac:dyDescent="0.2">
      <c r="A51" s="5" t="s">
        <v>5</v>
      </c>
    </row>
    <row r="52" spans="1:5" x14ac:dyDescent="0.2">
      <c r="A52" s="6" t="s">
        <v>6</v>
      </c>
      <c r="B52">
        <v>7</v>
      </c>
      <c r="C52">
        <v>6.6</v>
      </c>
      <c r="D52" s="7">
        <v>168</v>
      </c>
      <c r="E52">
        <v>16</v>
      </c>
    </row>
    <row r="53" spans="1:5" x14ac:dyDescent="0.2">
      <c r="A53" s="4" t="s">
        <v>29</v>
      </c>
    </row>
    <row r="54" spans="1:5" x14ac:dyDescent="0.2">
      <c r="A54" s="5" t="s">
        <v>30</v>
      </c>
    </row>
    <row r="55" spans="1:5" x14ac:dyDescent="0.2">
      <c r="A55" s="6" t="s">
        <v>31</v>
      </c>
      <c r="C55">
        <v>6.6</v>
      </c>
      <c r="D55" s="7"/>
    </row>
    <row r="56" spans="1:5" x14ac:dyDescent="0.2">
      <c r="A56" s="4" t="s">
        <v>21</v>
      </c>
    </row>
    <row r="57" spans="1:5" x14ac:dyDescent="0.2">
      <c r="A57" s="5" t="s">
        <v>22</v>
      </c>
    </row>
    <row r="58" spans="1:5" x14ac:dyDescent="0.2">
      <c r="A58" s="6" t="s">
        <v>9</v>
      </c>
      <c r="B58">
        <v>5</v>
      </c>
      <c r="C58">
        <v>7.2</v>
      </c>
      <c r="D58" s="7">
        <v>125</v>
      </c>
      <c r="E58">
        <v>9.6153846153846168</v>
      </c>
    </row>
    <row r="59" spans="1:5" x14ac:dyDescent="0.2">
      <c r="A59" s="4" t="s">
        <v>14</v>
      </c>
    </row>
    <row r="60" spans="1:5" x14ac:dyDescent="0.2">
      <c r="A60" s="5" t="s">
        <v>15</v>
      </c>
    </row>
    <row r="61" spans="1:5" x14ac:dyDescent="0.2">
      <c r="A61" s="6" t="s">
        <v>6</v>
      </c>
      <c r="B61">
        <v>15</v>
      </c>
      <c r="C61">
        <v>6.4</v>
      </c>
      <c r="D61" s="7">
        <v>195</v>
      </c>
      <c r="E61">
        <v>15.294117647058824</v>
      </c>
    </row>
    <row r="62" spans="1:5" x14ac:dyDescent="0.2">
      <c r="A62" s="4" t="s">
        <v>4</v>
      </c>
    </row>
    <row r="63" spans="1:5" x14ac:dyDescent="0.2">
      <c r="A63" s="5" t="s">
        <v>5</v>
      </c>
    </row>
    <row r="64" spans="1:5" x14ac:dyDescent="0.2">
      <c r="A64" s="6" t="s">
        <v>6</v>
      </c>
      <c r="B64">
        <v>7</v>
      </c>
      <c r="C64">
        <v>9.1</v>
      </c>
      <c r="D64" s="7">
        <v>70</v>
      </c>
      <c r="E64">
        <v>6.666666666666667</v>
      </c>
    </row>
    <row r="65" spans="1:5" x14ac:dyDescent="0.2">
      <c r="A65" s="4" t="s">
        <v>71</v>
      </c>
      <c r="B65">
        <v>134</v>
      </c>
      <c r="C65">
        <v>7.2571428571428571</v>
      </c>
      <c r="D65" s="7">
        <v>3109</v>
      </c>
      <c r="E65">
        <v>15.909994424305886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5E2849-3930-437E-8CA6-F86DCEB32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Load from and save to Products</vt:lpstr>
      <vt:lpstr>target average GMP(solver)</vt:lpstr>
      <vt:lpstr>Sales+Products pivot table</vt:lpstr>
    </vt:vector>
  </TitlesOfParts>
  <Manager/>
  <Company>Queen Mary, University of London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Akshay Jayakumar</dc:creator>
  <cp:keywords/>
  <dc:description/>
  <cp:lastModifiedBy>Akshay Jayakumar</cp:lastModifiedBy>
  <cp:revision/>
  <dcterms:created xsi:type="dcterms:W3CDTF">2025-01-21T19:00:25Z</dcterms:created>
  <dcterms:modified xsi:type="dcterms:W3CDTF">2025-01-23T20:44:11Z</dcterms:modified>
  <cp:category/>
  <cp:contentStatus/>
</cp:coreProperties>
</file>